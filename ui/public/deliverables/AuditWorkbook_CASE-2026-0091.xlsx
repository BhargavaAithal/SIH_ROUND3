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T_Field_Readings" sheetId="2" state="visible" r:id="rId2"/>
    <sheet xmlns:r="http://schemas.openxmlformats.org/officeDocument/2006/relationships" name="Code_Calculations" sheetId="3" state="visible" r:id="rId3"/>
    <sheet xmlns:r="http://schemas.openxmlformats.org/officeDocument/2006/relationships" name="Cryptographic_Vault_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Case Identifier</t>
        </is>
      </c>
      <c r="B2" s="2" t="inlineStr">
        <is>
          <t>CASE-2026-0091</t>
        </is>
      </c>
    </row>
    <row r="3">
      <c r="A3" s="2" t="inlineStr">
        <is>
          <t>Asset / Facility</t>
        </is>
      </c>
      <c r="B3" s="2" t="inlineStr">
        <is>
          <t>Paradip Refinery - CDU-3</t>
        </is>
      </c>
    </row>
    <row r="4">
      <c r="A4" s="2" t="inlineStr">
        <is>
          <t>Target Inspection Line</t>
        </is>
      </c>
      <c r="B4" s="2" t="inlineStr">
        <is>
          <t>12"-P-1042-CS-150 (Unit 3 Line 1042)</t>
        </is>
      </c>
    </row>
    <row r="5">
      <c r="A5" s="2" t="inlineStr">
        <is>
          <t>Governing Standards</t>
        </is>
      </c>
      <c r="B5" s="2" t="inlineStr">
        <is>
          <t>ASME B31.3 Section 304.1.2 &amp; API 510</t>
        </is>
      </c>
    </row>
    <row r="6">
      <c r="A6" s="2" t="inlineStr">
        <is>
          <t>Formal Verification Verdict</t>
        </is>
      </c>
      <c r="B6" s="2" t="inlineStr">
        <is>
          <t>PASS (Remaining Safe Life: 6.2 Years)</t>
        </is>
      </c>
    </row>
    <row r="7">
      <c r="A7" s="2" t="inlineStr">
        <is>
          <t>Recommended Action</t>
        </is>
      </c>
      <c r="B7" s="2" t="inlineStr">
        <is>
          <t>Approved for Operation; Re-inspect in 12 Months (Sep 2027)</t>
        </is>
      </c>
    </row>
    <row r="8">
      <c r="A8" s="2" t="inlineStr">
        <is>
          <t>Air-Gap Network Counter</t>
        </is>
      </c>
      <c r="B8" s="2" t="inlineStr">
        <is>
          <t>0 Bytes Out (Physical Kernel Isolation)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5" customWidth="1" min="4" max="4"/>
    <col width="15" customWidth="1" min="5" max="5"/>
    <col width="17" customWidth="1" min="6" max="6"/>
    <col width="12" customWidth="1" min="7" max="7"/>
    <col width="12" customWidth="1" min="8" max="8"/>
    <col width="19" customWidth="1" min="9" max="9"/>
  </cols>
  <sheetData>
    <row r="1">
      <c r="A1" s="1" t="inlineStr">
        <is>
          <t>CML ID</t>
        </is>
      </c>
      <c r="B1" s="1" t="inlineStr">
        <is>
          <t>LOCATION</t>
        </is>
      </c>
      <c r="C1" s="1" t="inlineStr">
        <is>
          <t>NOMINAL MM</t>
        </is>
      </c>
      <c r="D1" s="1" t="inlineStr">
        <is>
          <t>YEAR 2024 MM</t>
        </is>
      </c>
      <c r="E1" s="1" t="inlineStr">
        <is>
          <t>YEAR 2025 MM</t>
        </is>
      </c>
      <c r="F1" s="1" t="inlineStr">
        <is>
          <t>ACTUAL 2026 MM</t>
        </is>
      </c>
      <c r="G1" s="1" t="inlineStr">
        <is>
          <t>T MIN MM</t>
        </is>
      </c>
      <c r="H1" s="1" t="inlineStr">
        <is>
          <t>MARGIN MM</t>
        </is>
      </c>
      <c r="I1" s="1" t="inlineStr">
        <is>
          <t>STATUS</t>
        </is>
      </c>
    </row>
    <row r="2">
      <c r="A2" s="2" t="inlineStr">
        <is>
          <t>CML-01</t>
        </is>
      </c>
      <c r="B2" s="2" t="inlineStr">
        <is>
          <t>Upstream Elbow Top</t>
        </is>
      </c>
      <c r="C2" s="3" t="n">
        <v>9.529999999999999</v>
      </c>
      <c r="D2" s="3" t="n">
        <v>8.119999999999999</v>
      </c>
      <c r="E2" s="3" t="n">
        <v>7.95</v>
      </c>
      <c r="F2" s="3" t="n">
        <v>7.95</v>
      </c>
      <c r="G2" s="3" t="n">
        <v>5.62</v>
      </c>
      <c r="H2" s="2">
        <f>D2-F2</f>
        <v/>
      </c>
      <c r="I2" s="2" t="inlineStr">
        <is>
          <t>PASS</t>
        </is>
      </c>
    </row>
    <row r="3">
      <c r="A3" s="2" t="inlineStr">
        <is>
          <t>CML-02</t>
        </is>
      </c>
      <c r="B3" s="2" t="inlineStr">
        <is>
          <t>Horizontal Spool Ext</t>
        </is>
      </c>
      <c r="C3" s="3" t="n">
        <v>9.529999999999999</v>
      </c>
      <c r="D3" s="3" t="n">
        <v>8.18</v>
      </c>
      <c r="E3" s="3" t="n">
        <v>8</v>
      </c>
      <c r="F3" s="3" t="n">
        <v>7.88</v>
      </c>
      <c r="G3" s="3" t="n">
        <v>5.62</v>
      </c>
      <c r="H3" s="2">
        <f>D3-F3</f>
        <v/>
      </c>
      <c r="I3" s="2" t="inlineStr">
        <is>
          <t>PASS</t>
        </is>
      </c>
    </row>
    <row r="4">
      <c r="A4" s="2" t="inlineStr">
        <is>
          <t>CML-03</t>
        </is>
      </c>
      <c r="B4" s="2" t="inlineStr">
        <is>
          <t>Flagged Lower Quadrant</t>
        </is>
      </c>
      <c r="C4" s="3" t="n">
        <v>9.529999999999999</v>
      </c>
      <c r="D4" s="3" t="n">
        <v>8.02</v>
      </c>
      <c r="E4" s="3" t="n">
        <v>7.8</v>
      </c>
      <c r="F4" s="3" t="n">
        <v>7.68</v>
      </c>
      <c r="G4" s="3" t="n">
        <v>5.62</v>
      </c>
      <c r="H4" s="2">
        <f>D4-F4</f>
        <v/>
      </c>
      <c r="I4" s="2" t="inlineStr">
        <is>
          <t>PASS (GOVERNING)</t>
        </is>
      </c>
    </row>
    <row r="5">
      <c r="A5" s="2" t="inlineStr">
        <is>
          <t>CML-04</t>
        </is>
      </c>
      <c r="B5" s="2" t="inlineStr">
        <is>
          <t>Flange Neck Weld HAZ</t>
        </is>
      </c>
      <c r="C5" s="3" t="n">
        <v>9.529999999999999</v>
      </c>
      <c r="D5" s="3" t="n">
        <v>8.300000000000001</v>
      </c>
      <c r="E5" s="3" t="n">
        <v>8.15</v>
      </c>
      <c r="F5" s="3" t="n">
        <v>8.15</v>
      </c>
      <c r="G5" s="3" t="n">
        <v>5.62</v>
      </c>
      <c r="H5" s="2">
        <f>D5-F5</f>
        <v/>
      </c>
      <c r="I5" s="2" t="inlineStr">
        <is>
          <t>PASS</t>
        </is>
      </c>
    </row>
    <row r="6">
      <c r="A6" s="2" t="inlineStr">
        <is>
          <t>CML-05</t>
        </is>
      </c>
      <c r="B6" s="2" t="inlineStr">
        <is>
          <t>Downstream Reducer Ext</t>
        </is>
      </c>
      <c r="C6" s="3" t="n">
        <v>9.529999999999999</v>
      </c>
      <c r="D6" s="3" t="n">
        <v>8.25</v>
      </c>
      <c r="E6" s="3" t="n">
        <v>8.08</v>
      </c>
      <c r="F6" s="3" t="n">
        <v>8.08</v>
      </c>
      <c r="G6" s="3" t="n">
        <v>5.62</v>
      </c>
      <c r="H6" s="2">
        <f>D6-F6</f>
        <v/>
      </c>
      <c r="I6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2" customWidth="1" min="11" max="11"/>
    <col width="27" customWidth="1" min="12" max="12"/>
  </cols>
  <sheetData>
    <row r="1">
      <c r="A1" s="1" t="inlineStr">
        <is>
          <t>POINT ID</t>
        </is>
      </c>
      <c r="B1" s="1" t="inlineStr">
        <is>
          <t>LINE TAG</t>
        </is>
      </c>
      <c r="C1" s="1" t="inlineStr">
        <is>
          <t>PRESSURE PSI</t>
        </is>
      </c>
      <c r="D1" s="1" t="inlineStr">
        <is>
          <t>OD IN</t>
        </is>
      </c>
      <c r="E1" s="1" t="inlineStr">
        <is>
          <t>STRESS PSI</t>
        </is>
      </c>
      <c r="F1" s="1" t="inlineStr">
        <is>
          <t>E</t>
        </is>
      </c>
      <c r="G1" s="1" t="inlineStr">
        <is>
          <t>Y</t>
        </is>
      </c>
      <c r="H1" s="1" t="inlineStr">
        <is>
          <t>CA IN</t>
        </is>
      </c>
      <c r="I1" s="1" t="inlineStr">
        <is>
          <t>T ACTUAL IN</t>
        </is>
      </c>
      <c r="J1" s="1" t="inlineStr">
        <is>
          <t>T MIN IN</t>
        </is>
      </c>
      <c r="K1" s="1" t="inlineStr">
        <is>
          <t>MARGIN IN</t>
        </is>
      </c>
      <c r="L1" s="1" t="inlineStr">
        <is>
          <t>VERDICT</t>
        </is>
      </c>
    </row>
    <row r="2">
      <c r="A2" s="2" t="inlineStr">
        <is>
          <t>CML-03</t>
        </is>
      </c>
      <c r="B2" s="2" t="inlineStr">
        <is>
          <t>12"-P-1042-CS-150</t>
        </is>
      </c>
      <c r="C2" s="3" t="n">
        <v>400</v>
      </c>
      <c r="D2" s="3" t="n">
        <v>12.75</v>
      </c>
      <c r="E2" s="3" t="n">
        <v>20000</v>
      </c>
      <c r="F2" s="3" t="n">
        <v>1</v>
      </c>
      <c r="G2" s="3" t="n">
        <v>0.4</v>
      </c>
      <c r="H2" s="3" t="n">
        <v>0.0625</v>
      </c>
      <c r="I2" s="3" t="n">
        <v>0.3024</v>
      </c>
      <c r="J2" s="2">
        <f>(C2*D2)/(2*(E2*F2 + C2*G2)) + H2</f>
        <v/>
      </c>
      <c r="K2" s="2">
        <f>I2 - J2</f>
        <v/>
      </c>
      <c r="L2" s="2" t="inlineStr">
        <is>
          <t>PASS (6.2 YRS REMAINING)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22" customWidth="1" min="3" max="3"/>
    <col width="67" customWidth="1" min="4" max="4"/>
    <col width="12" customWidth="1" min="5" max="5"/>
  </cols>
  <sheetData>
    <row r="1">
      <c r="A1" s="1" t="inlineStr">
        <is>
          <t>FILENAME</t>
        </is>
      </c>
      <c r="B1" s="1" t="inlineStr">
        <is>
          <t>SIZE BYTES</t>
        </is>
      </c>
      <c r="C1" s="1" t="inlineStr">
        <is>
          <t>INGEST TIMESTAMP</t>
        </is>
      </c>
      <c r="D1" s="1" t="inlineStr">
        <is>
          <t>SHA256 CHECKSUM</t>
        </is>
      </c>
      <c r="E1" s="1" t="inlineStr">
        <is>
          <t>STATUS</t>
        </is>
      </c>
    </row>
    <row r="2">
      <c r="A2" s="2" t="inlineStr">
        <is>
          <t>PID_Unit3_Line1042_scan.pdf</t>
        </is>
      </c>
      <c r="B2" s="2" t="n">
        <v>2968</v>
      </c>
      <c r="C2" s="2" t="inlineStr">
        <is>
          <t>2026-09-14T09:15:02</t>
        </is>
      </c>
      <c r="D2" s="2" t="inlineStr">
        <is>
          <t>88520e19ce24d1581192dfb5bfd60fbd931406dcdcfa91947307d36a90eeda11</t>
        </is>
      </c>
      <c r="E2" s="2" t="inlineStr">
        <is>
          <t>VERIFIED</t>
        </is>
      </c>
    </row>
    <row r="3">
      <c r="A3" s="2" t="inlineStr">
        <is>
          <t>UT_Inspection_Log_14Sep2026.jpg</t>
        </is>
      </c>
      <c r="B3" s="2" t="n">
        <v>277428</v>
      </c>
      <c r="C3" s="2" t="inlineStr">
        <is>
          <t>2026-09-14T09:15:02</t>
        </is>
      </c>
      <c r="D3" s="2" t="inlineStr">
        <is>
          <t>800ab8c7bf10b2d726bfd6b598ba3ec6e4e9fb6f2fb12444ccf0fda6c653f3b5</t>
        </is>
      </c>
      <c r="E3" s="2" t="inlineStr">
        <is>
          <t>VERIFIED</t>
        </is>
      </c>
    </row>
    <row r="4">
      <c r="A4" s="2" t="inlineStr">
        <is>
          <t>Corrosion_Trend_2019-2025.xlsx</t>
        </is>
      </c>
      <c r="B4" s="2" t="n">
        <v>6119</v>
      </c>
      <c r="C4" s="2" t="inlineStr">
        <is>
          <t>2026-09-14T09:15:02</t>
        </is>
      </c>
      <c r="D4" s="2" t="inlineStr">
        <is>
          <t>00d04d2a367bb31a259d31fcf93174890fa9b86db46f530aca037086d42caa35</t>
        </is>
      </c>
      <c r="E4" s="2" t="inlineStr">
        <is>
          <t>VERIFIED</t>
        </is>
      </c>
    </row>
    <row r="5">
      <c r="A5" s="2" t="inlineStr">
        <is>
          <t>MillCert_A106GrB_Heat4471.pdf</t>
        </is>
      </c>
      <c r="B5" s="2" t="n">
        <v>3772</v>
      </c>
      <c r="C5" s="2" t="inlineStr">
        <is>
          <t>2026-09-14T09:15:02</t>
        </is>
      </c>
      <c r="D5" s="2" t="inlineStr">
        <is>
          <t>dae6014b9071b85713bab7fb514b61c5ec45ee6090a4b0f68900c099e77d27bc</t>
        </is>
      </c>
      <c r="E5" s="2" t="inlineStr">
        <is>
          <t>VERIFIED</t>
        </is>
      </c>
    </row>
    <row r="6">
      <c r="A6" s="2" t="inlineStr">
        <is>
          <t>SitePhoto_CorrosionSpot.jpg</t>
        </is>
      </c>
      <c r="B6" s="2" t="n">
        <v>167286</v>
      </c>
      <c r="C6" s="2" t="inlineStr">
        <is>
          <t>2026-09-14T09:15:02</t>
        </is>
      </c>
      <c r="D6" s="2" t="inlineStr">
        <is>
          <t>22b051af360464731aa18f72533225ce4502dabe97961cd918d7c4111c5091c8</t>
        </is>
      </c>
      <c r="E6" s="2" t="inlineStr">
        <is>
          <t>VERIFIED</t>
        </is>
      </c>
    </row>
    <row r="7">
      <c r="A7" s="2" t="inlineStr">
        <is>
          <t>PrevApprovalNote_2025.docx</t>
        </is>
      </c>
      <c r="B7" s="2" t="n">
        <v>37856</v>
      </c>
      <c r="C7" s="2" t="inlineStr">
        <is>
          <t>2026-09-14T09:15:02</t>
        </is>
      </c>
      <c r="D7" s="2" t="inlineStr">
        <is>
          <t>2fe2918f92d3345f39c43dd1f43938e0992227b740cac2a43b7aeb83fc38c359</t>
        </is>
      </c>
      <c r="E7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2026-09-20T05:47:20Z</dcterms:created>
  <dcterms:modified xmlns:dcterms="http://purl.org/dc/terms/" xmlns:xsi="http://www.w3.org/2001/XMLSchema-instance" xsi:type="dcterms:W3CDTF">2026-09-20T05:47:20Z</dcterms:modified>
</cp:coreProperties>
</file>