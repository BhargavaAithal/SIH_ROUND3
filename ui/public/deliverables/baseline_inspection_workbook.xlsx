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ing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Asset / Facility</t>
        </is>
      </c>
      <c r="B2" s="2" t="inlineStr">
        <is>
          <t>Paradip Refinery - CDU-1</t>
        </is>
      </c>
    </row>
    <row r="3">
      <c r="A3" s="2" t="inlineStr">
        <is>
          <t>Scenario State</t>
        </is>
      </c>
      <c r="B3" s="2" t="inlineStr">
        <is>
          <t>BASELINE NORMAL OPERATION (100% COMPLIANT)</t>
        </is>
      </c>
    </row>
    <row r="4">
      <c r="A4" s="2" t="inlineStr">
        <is>
          <t>Target Inspection Line</t>
        </is>
      </c>
      <c r="B4" s="2" t="inlineStr">
        <is>
          <t>16"-P-101-CS-150 (Crude Charge Ingestion)</t>
        </is>
      </c>
    </row>
    <row r="5">
      <c r="A5" s="2" t="inlineStr">
        <is>
          <t>Governing Code</t>
        </is>
      </c>
      <c r="B5" s="2" t="inlineStr">
        <is>
          <t>ASME B31.3 Section 304.1.2 &amp; API 570</t>
        </is>
      </c>
    </row>
    <row r="6">
      <c r="A6" s="2" t="inlineStr">
        <is>
          <t>Formal Verification Verdict</t>
        </is>
      </c>
      <c r="B6" s="2" t="inlineStr">
        <is>
          <t>SAT (0.0000% False Assurance Rate)</t>
        </is>
      </c>
    </row>
    <row r="7">
      <c r="A7" s="2" t="inlineStr">
        <is>
          <t>Air-Gap Network Status</t>
        </is>
      </c>
      <c r="B7" s="2" t="inlineStr">
        <is>
          <t>ACTIVE - 0 Bytes WAN Egress (Hardware Isolated)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>
      <c r="A1" s="1" t="inlineStr">
        <is>
          <t>POINT ID</t>
        </is>
      </c>
      <c r="B1" s="1" t="inlineStr">
        <is>
          <t>LINE TAG</t>
        </is>
      </c>
      <c r="C1" s="1" t="inlineStr">
        <is>
          <t>PRESSURE PSI</t>
        </is>
      </c>
      <c r="D1" s="1" t="inlineStr">
        <is>
          <t>OD IN</t>
        </is>
      </c>
      <c r="E1" s="1" t="inlineStr">
        <is>
          <t>STRESS PSI</t>
        </is>
      </c>
      <c r="F1" s="1" t="inlineStr">
        <is>
          <t>E</t>
        </is>
      </c>
      <c r="G1" s="1" t="inlineStr">
        <is>
          <t>Y</t>
        </is>
      </c>
      <c r="H1" s="1" t="inlineStr">
        <is>
          <t>CA IN</t>
        </is>
      </c>
      <c r="I1" s="1" t="inlineStr">
        <is>
          <t>T ACTUAL IN</t>
        </is>
      </c>
      <c r="J1" s="1" t="inlineStr">
        <is>
          <t>T MIN IN</t>
        </is>
      </c>
      <c r="K1" s="1" t="inlineStr">
        <is>
          <t>MARGIN IN</t>
        </is>
      </c>
      <c r="L1" s="1" t="inlineStr">
        <is>
          <t>STATUS</t>
        </is>
      </c>
    </row>
    <row r="2">
      <c r="A2" s="2" t="inlineStr">
        <is>
          <t>UT-PT-01</t>
        </is>
      </c>
      <c r="B2" s="2" t="inlineStr">
        <is>
          <t>16"-P-101-CS-150</t>
        </is>
      </c>
      <c r="C2" s="3" t="n">
        <v>400</v>
      </c>
      <c r="D2" s="3" t="n">
        <v>16</v>
      </c>
      <c r="E2" s="3" t="n">
        <v>20000</v>
      </c>
      <c r="F2" s="3" t="n">
        <v>1</v>
      </c>
      <c r="G2" s="3" t="n">
        <v>0.4</v>
      </c>
      <c r="H2" s="3" t="n">
        <v>0.0625</v>
      </c>
      <c r="I2" s="3" t="n">
        <v>0.32</v>
      </c>
      <c r="J2" s="2">
        <f>(C2*D2)/(2*(E2*F2 + C2*G2)) + H2</f>
        <v/>
      </c>
      <c r="K2" s="2">
        <f>I2 - J2</f>
        <v/>
      </c>
      <c r="L2" s="2" t="inlineStr">
        <is>
          <t>SAT</t>
        </is>
      </c>
    </row>
    <row r="3">
      <c r="A3" s="2" t="inlineStr">
        <is>
          <t>UT-PT-02</t>
        </is>
      </c>
      <c r="B3" s="2" t="inlineStr">
        <is>
          <t>16"-P-102-CS-150</t>
        </is>
      </c>
      <c r="C3" s="3" t="n">
        <v>400</v>
      </c>
      <c r="D3" s="3" t="n">
        <v>16</v>
      </c>
      <c r="E3" s="3" t="n">
        <v>20000</v>
      </c>
      <c r="F3" s="3" t="n">
        <v>1</v>
      </c>
      <c r="G3" s="3" t="n">
        <v>0.4</v>
      </c>
      <c r="H3" s="3" t="n">
        <v>0.0625</v>
      </c>
      <c r="I3" s="3" t="n">
        <v>0.32</v>
      </c>
      <c r="J3" s="2">
        <f>(C3*D3)/(2*(E3*F3 + C3*G3)) + H3</f>
        <v/>
      </c>
      <c r="K3" s="2">
        <f>I3 - J3</f>
        <v/>
      </c>
      <c r="L3" s="2" t="inlineStr">
        <is>
          <t>SAT</t>
        </is>
      </c>
    </row>
    <row r="4">
      <c r="A4" s="2" t="inlineStr">
        <is>
          <t>UT-PT-03</t>
        </is>
      </c>
      <c r="B4" s="2" t="inlineStr">
        <is>
          <t>10"-P-104-CS-300</t>
        </is>
      </c>
      <c r="C4" s="3" t="n">
        <v>550</v>
      </c>
      <c r="D4" s="3" t="n">
        <v>10.75</v>
      </c>
      <c r="E4" s="3" t="n">
        <v>20000</v>
      </c>
      <c r="F4" s="3" t="n">
        <v>1</v>
      </c>
      <c r="G4" s="3" t="n">
        <v>0.4</v>
      </c>
      <c r="H4" s="3" t="n">
        <v>0.125</v>
      </c>
      <c r="I4" s="3" t="n">
        <v>0.365</v>
      </c>
      <c r="J4" s="2">
        <f>(C4*D4)/(2*(E4*F4 + C4*G4)) + H4</f>
        <v/>
      </c>
      <c r="K4" s="2">
        <f>I4 - J4</f>
        <v/>
      </c>
      <c r="L4" s="2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2026-09-20T05:47:20Z</dcterms:created>
  <dcterms:modified xmlns:dcterms="http://purl.org/dc/terms/" xmlns:xsi="http://www.w3.org/2001/XMLSchema-instance" xsi:type="dcterms:W3CDTF">2026-09-20T05:47:20Z</dcterms:modified>
</cp:coreProperties>
</file>